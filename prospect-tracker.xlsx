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Summary" sheetId="2" state="visible" r:id="rId2"/>
    <sheet name="Key Insights" sheetId="3" state="visible" r:id="rId3"/>
  </sheets>
  <definedNames>
    <definedName name="_xlnm._FilterDatabase" localSheetId="0" hidden="1">'Tracker'!$A$1:$L$23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  <i val="1"/>
      <sz val="9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165" fontId="6" fillId="0" borderId="1" pivotButton="0" quotePrefix="0" xfId="0"/>
    <xf numFmtId="0" fontId="1" fillId="2" borderId="1" pivotButton="0" quotePrefix="0" xfId="0"/>
    <xf numFmtId="0" fontId="2" fillId="0" borderId="1" pivotButton="0" quotePrefix="0" xfId="0"/>
    <xf numFmtId="165" fontId="2" fillId="0" borderId="1" pivotButton="0" quotePrefix="0" xfId="0"/>
    <xf numFmtId="1" fontId="2" fillId="0" borderId="1" pivotButton="0" quotePrefix="0" xfId="0"/>
    <xf numFmtId="1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Tracker</author>
  </authors>
  <commentList>
    <comment ref="K1" authorId="0" shapeId="0">
      <text>
        <t>Dates were not supplied in the source data. Fill in from your message history (yellow cells).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36" customWidth="1" min="3" max="3"/>
    <col width="18" customWidth="1" min="4" max="4"/>
    <col width="38" customWidth="1" min="5" max="5"/>
    <col width="10" customWidth="1" min="6" max="6"/>
    <col width="12" customWidth="1" min="7" max="7"/>
    <col width="30" customWidth="1" min="8" max="8"/>
    <col width="13" customWidth="1" min="9" max="9"/>
    <col width="26" customWidth="1" min="10" max="10"/>
    <col width="14" customWidth="1" min="11" max="11"/>
    <col width="14" customWidth="1" min="12" max="12"/>
  </cols>
  <sheetData>
    <row r="1" ht="30" customHeight="1">
      <c r="A1" s="1" t="inlineStr">
        <is>
          <t>#</t>
        </is>
      </c>
      <c r="B1" s="1" t="inlineStr">
        <is>
          <t>Name</t>
        </is>
      </c>
      <c r="C1" s="1" t="inlineStr">
        <is>
          <t>Title / Company</t>
        </is>
      </c>
      <c r="D1" s="1" t="inlineStr">
        <is>
          <t>Country</t>
        </is>
      </c>
      <c r="E1" s="1" t="inlineStr">
        <is>
          <t>Profile summary</t>
        </is>
      </c>
      <c r="F1" s="1" t="inlineStr">
        <is>
          <t>Response</t>
        </is>
      </c>
      <c r="G1" s="1" t="inlineStr">
        <is>
          <t>Engagement</t>
        </is>
      </c>
      <c r="H1" s="1" t="inlineStr">
        <is>
          <t>Objection</t>
        </is>
      </c>
      <c r="I1" s="1" t="inlineStr">
        <is>
          <t>Funnel stage</t>
        </is>
      </c>
      <c r="J1" s="1" t="inlineStr">
        <is>
          <t>Notes</t>
        </is>
      </c>
      <c r="K1" s="1" t="inlineStr">
        <is>
          <t>First contact date</t>
        </is>
      </c>
      <c r="L1" s="1" t="inlineStr">
        <is>
          <t>Last contact date</t>
        </is>
      </c>
    </row>
    <row r="2">
      <c r="A2" s="2" t="n">
        <v>1</v>
      </c>
      <c r="B2" s="2" t="inlineStr">
        <is>
          <t>Dr. Abdullah Al Sharif</t>
        </is>
      </c>
      <c r="C2" s="2" t="inlineStr">
        <is>
          <t>Founder, Knowledge Expansion / Upskills</t>
        </is>
      </c>
      <c r="D2" s="2" t="inlineStr">
        <is>
          <t>Saudi Arabia</t>
        </is>
      </c>
      <c r="E2" s="2" t="inlineStr">
        <is>
          <t>Four ventures, CCMP, 22 yrs Toastmasters</t>
        </is>
      </c>
      <c r="F2" s="2" t="inlineStr">
        <is>
          <t>Yes</t>
        </is>
      </c>
      <c r="G2" s="2" t="inlineStr">
        <is>
          <t>Advanced</t>
        </is>
      </c>
      <c r="H2" s="2" t="inlineStr">
        <is>
          <t>Asked about methodology</t>
        </is>
      </c>
      <c r="I2" s="2" t="inlineStr">
        <is>
          <t>Final stage</t>
        </is>
      </c>
      <c r="J2" s="2" t="inlineStr"/>
      <c r="K2" s="3" t="n"/>
      <c r="L2" s="3" t="n"/>
    </row>
    <row r="3">
      <c r="A3" s="4" t="n">
        <v>2</v>
      </c>
      <c r="B3" s="4" t="inlineStr">
        <is>
          <t>Hans van der Laan</t>
        </is>
      </c>
      <c r="C3" s="4" t="inlineStr">
        <is>
          <t>CEO, Access2Europe</t>
        </is>
      </c>
      <c r="D3" s="4" t="inlineStr">
        <is>
          <t>Netherlands</t>
        </is>
      </c>
      <c r="E3" s="4" t="inlineStr">
        <is>
          <t>25 yrs, multiple ventures, tested rigorously</t>
        </is>
      </c>
      <c r="F3" s="4" t="inlineStr">
        <is>
          <t>Yes</t>
        </is>
      </c>
      <c r="G3" s="4" t="inlineStr">
        <is>
          <t>Advanced</t>
        </is>
      </c>
      <c r="H3" s="4" t="inlineStr">
        <is>
          <t>Wanted technical proof</t>
        </is>
      </c>
      <c r="I3" s="4" t="inlineStr">
        <is>
          <t>Handover</t>
        </is>
      </c>
      <c r="J3" s="4" t="inlineStr">
        <is>
          <t>Handover meeting missed</t>
        </is>
      </c>
      <c r="K3" s="3" t="n"/>
      <c r="L3" s="3" t="n"/>
    </row>
    <row r="4">
      <c r="A4" s="2" t="n">
        <v>3</v>
      </c>
      <c r="B4" s="2" t="inlineStr">
        <is>
          <t>Bayo Igoh</t>
        </is>
      </c>
      <c r="C4" s="2" t="inlineStr">
        <is>
          <t>Executive Coach, BigohCoaching</t>
        </is>
      </c>
      <c r="D4" s="2" t="inlineStr">
        <is>
          <t>UK</t>
        </is>
      </c>
      <c r="E4" s="2" t="inlineStr">
        <is>
          <t>Executive coaching practice</t>
        </is>
      </c>
      <c r="F4" s="2" t="inlineStr">
        <is>
          <t>Yes</t>
        </is>
      </c>
      <c r="G4" s="2" t="inlineStr">
        <is>
          <t>Advanced</t>
        </is>
      </c>
      <c r="H4" s="2" t="inlineStr">
        <is>
          <t>Scheduling / time zones</t>
        </is>
      </c>
      <c r="I4" s="2" t="inlineStr">
        <is>
          <t>Declined</t>
        </is>
      </c>
      <c r="J4" s="2" t="inlineStr"/>
      <c r="K4" s="3" t="n"/>
      <c r="L4" s="3" t="n"/>
    </row>
    <row r="5">
      <c r="A5" s="4" t="n">
        <v>4</v>
      </c>
      <c r="B5" s="4" t="inlineStr">
        <is>
          <t>Rania Habib</t>
        </is>
      </c>
      <c r="C5" s="4" t="inlineStr">
        <is>
          <t>Founder, Business Motion</t>
        </is>
      </c>
      <c r="D5" s="4" t="inlineStr">
        <is>
          <t>Lebanon</t>
        </is>
      </c>
      <c r="E5" s="4" t="inlineStr">
        <is>
          <t>Strategic comms, 11 yrs, UN work</t>
        </is>
      </c>
      <c r="F5" s="4" t="inlineStr">
        <is>
          <t>Yes</t>
        </is>
      </c>
      <c r="G5" s="4" t="inlineStr">
        <is>
          <t>Engaged</t>
        </is>
      </c>
      <c r="H5" s="4" t="inlineStr">
        <is>
          <t>None stated</t>
        </is>
      </c>
      <c r="I5" s="4" t="inlineStr">
        <is>
          <t>Handover</t>
        </is>
      </c>
      <c r="J5" s="4" t="inlineStr"/>
      <c r="K5" s="3" t="n"/>
      <c r="L5" s="3" t="n"/>
    </row>
    <row r="6">
      <c r="A6" s="2" t="n">
        <v>5</v>
      </c>
      <c r="B6" s="2" t="inlineStr">
        <is>
          <t>Sarah Connelly</t>
        </is>
      </c>
      <c r="C6" s="2" t="inlineStr">
        <is>
          <t>Founder, Tapped In</t>
        </is>
      </c>
      <c r="D6" s="2" t="inlineStr">
        <is>
          <t>Australia</t>
        </is>
      </c>
      <c r="E6" s="2" t="inlineStr">
        <is>
          <t>Coach, media coverage, common name</t>
        </is>
      </c>
      <c r="F6" s="2" t="inlineStr">
        <is>
          <t>Yes</t>
        </is>
      </c>
      <c r="G6" s="2" t="inlineStr">
        <is>
          <t>Engaged</t>
        </is>
      </c>
      <c r="H6" s="2" t="inlineStr">
        <is>
          <t>Unfamiliar with the field</t>
        </is>
      </c>
      <c r="I6" s="2" t="inlineStr">
        <is>
          <t>Handover</t>
        </is>
      </c>
      <c r="J6" s="2" t="inlineStr"/>
      <c r="K6" s="3" t="n"/>
      <c r="L6" s="3" t="n"/>
    </row>
    <row r="7">
      <c r="A7" s="4" t="n">
        <v>6</v>
      </c>
      <c r="B7" s="4" t="inlineStr">
        <is>
          <t>Saqer AlQassimi</t>
        </is>
      </c>
      <c r="C7" s="4" t="inlineStr">
        <is>
          <t>Real estate investor</t>
        </is>
      </c>
      <c r="D7" s="4" t="inlineStr">
        <is>
          <t>UAE</t>
        </is>
      </c>
      <c r="E7" s="4" t="inlineStr">
        <is>
          <t>Built own page, ran own test</t>
        </is>
      </c>
      <c r="F7" s="4" t="inlineStr">
        <is>
          <t>Yes</t>
        </is>
      </c>
      <c r="G7" s="4" t="inlineStr">
        <is>
          <t>Engaged</t>
        </is>
      </c>
      <c r="H7" s="4" t="inlineStr">
        <is>
          <t>Has own site</t>
        </is>
      </c>
      <c r="I7" s="4" t="inlineStr">
        <is>
          <t>Qualified</t>
        </is>
      </c>
      <c r="J7" s="4" t="inlineStr"/>
      <c r="K7" s="3" t="n"/>
      <c r="L7" s="3" t="n"/>
    </row>
    <row r="8">
      <c r="A8" s="2" t="n">
        <v>7</v>
      </c>
      <c r="B8" s="2" t="inlineStr">
        <is>
          <t>Hatem Kenawi</t>
        </is>
      </c>
      <c r="C8" s="2" t="inlineStr">
        <is>
          <t>Presence coach, ex-BBC</t>
        </is>
      </c>
      <c r="D8" s="2" t="inlineStr">
        <is>
          <t>UAE</t>
        </is>
      </c>
      <c r="E8" s="2" t="inlineStr">
        <is>
          <t>Broadcast record invisible</t>
        </is>
      </c>
      <c r="F8" s="2" t="inlineStr">
        <is>
          <t>Yes</t>
        </is>
      </c>
      <c r="G8" s="2" t="inlineStr">
        <is>
          <t>Engaged</t>
        </is>
      </c>
      <c r="H8" s="2" t="inlineStr">
        <is>
          <t>None stated</t>
        </is>
      </c>
      <c r="I8" s="2" t="inlineStr">
        <is>
          <t>Qualified</t>
        </is>
      </c>
      <c r="J8" s="2" t="inlineStr"/>
      <c r="K8" s="3" t="n"/>
      <c r="L8" s="3" t="n"/>
    </row>
    <row r="9">
      <c r="A9" s="4" t="n">
        <v>8</v>
      </c>
      <c r="B9" s="4" t="inlineStr">
        <is>
          <t>Abdelrahman Elmasry</t>
        </is>
      </c>
      <c r="C9" s="4" t="inlineStr">
        <is>
          <t>CEO, GenTech</t>
        </is>
      </c>
      <c r="D9" s="4" t="inlineStr">
        <is>
          <t>Egypt</t>
        </is>
      </c>
      <c r="E9" s="4" t="inlineStr">
        <is>
          <t>Ran test, sent screenshot</t>
        </is>
      </c>
      <c r="F9" s="4" t="inlineStr">
        <is>
          <t>Yes</t>
        </is>
      </c>
      <c r="G9" s="4" t="inlineStr">
        <is>
          <t>Engaged</t>
        </is>
      </c>
      <c r="H9" s="4" t="inlineStr">
        <is>
          <t>None stated</t>
        </is>
      </c>
      <c r="I9" s="4" t="inlineStr">
        <is>
          <t>Qualified</t>
        </is>
      </c>
      <c r="J9" s="4" t="inlineStr"/>
      <c r="K9" s="3" t="n"/>
      <c r="L9" s="3" t="n"/>
    </row>
    <row r="10">
      <c r="A10" s="2" t="n">
        <v>9</v>
      </c>
      <c r="B10" s="2" t="inlineStr">
        <is>
          <t>Hadeer Ashour</t>
        </is>
      </c>
      <c r="C10" s="2" t="inlineStr">
        <is>
          <t>Founder, Alimento</t>
        </is>
      </c>
      <c r="D10" s="2" t="inlineStr">
        <is>
          <t>UAE</t>
        </is>
      </c>
      <c r="E10" s="2" t="inlineStr">
        <is>
          <t>Mid-fundraise, product background</t>
        </is>
      </c>
      <c r="F10" s="2" t="inlineStr">
        <is>
          <t>Yes</t>
        </is>
      </c>
      <c r="G10" s="2" t="inlineStr">
        <is>
          <t>Engaged</t>
        </is>
      </c>
      <c r="H10" s="2" t="inlineStr">
        <is>
          <t>Investors use LinkedIn first</t>
        </is>
      </c>
      <c r="I10" s="2" t="inlineStr">
        <is>
          <t>Stalled</t>
        </is>
      </c>
      <c r="J10" s="2" t="inlineStr"/>
      <c r="K10" s="3" t="n"/>
      <c r="L10" s="3" t="n"/>
    </row>
    <row r="11">
      <c r="A11" s="4" t="n">
        <v>10</v>
      </c>
      <c r="B11" s="4" t="inlineStr">
        <is>
          <t>Olga Alcaraz</t>
        </is>
      </c>
      <c r="C11" s="4" t="inlineStr">
        <is>
          <t>Founder, OLA Consulting</t>
        </is>
      </c>
      <c r="D11" s="4" t="inlineStr">
        <is>
          <t>US</t>
        </is>
      </c>
      <c r="E11" s="4" t="inlineStr">
        <is>
          <t>Four ventures, visibility framework</t>
        </is>
      </c>
      <c r="F11" s="4" t="inlineStr">
        <is>
          <t>Yes</t>
        </is>
      </c>
      <c r="G11" s="4" t="inlineStr">
        <is>
          <t>Light</t>
        </is>
      </c>
      <c r="H11" s="4" t="inlineStr">
        <is>
          <t>Works in visibility herself</t>
        </is>
      </c>
      <c r="I11" s="4" t="inlineStr">
        <is>
          <t>Replied</t>
        </is>
      </c>
      <c r="J11" s="4" t="inlineStr"/>
      <c r="K11" s="3" t="n"/>
      <c r="L11" s="3" t="n"/>
    </row>
    <row r="12">
      <c r="A12" s="2" t="n">
        <v>11</v>
      </c>
      <c r="B12" s="2" t="inlineStr">
        <is>
          <t>Dr. Branka Adzic</t>
        </is>
      </c>
      <c r="C12" s="2" t="inlineStr">
        <is>
          <t>Aesthetic doctor</t>
        </is>
      </c>
      <c r="D12" s="2" t="inlineStr">
        <is>
          <t>UAE</t>
        </is>
      </c>
      <c r="E12" s="2" t="inlineStr">
        <is>
          <t>American Board, MSc Regenerative</t>
        </is>
      </c>
      <c r="F12" s="2" t="inlineStr">
        <is>
          <t>Yes</t>
        </is>
      </c>
      <c r="G12" s="2" t="inlineStr">
        <is>
          <t>Light</t>
        </is>
      </c>
      <c r="H12" s="2" t="inlineStr">
        <is>
          <t>Wanted detail</t>
        </is>
      </c>
      <c r="I12" s="2" t="inlineStr">
        <is>
          <t>Replied</t>
        </is>
      </c>
      <c r="J12" s="2" t="inlineStr"/>
      <c r="K12" s="3" t="n"/>
      <c r="L12" s="3" t="n"/>
    </row>
    <row r="13">
      <c r="A13" s="4" t="n">
        <v>12</v>
      </c>
      <c r="B13" s="4" t="inlineStr">
        <is>
          <t>Rowaida Muhammad</t>
        </is>
      </c>
      <c r="C13" s="4" t="inlineStr">
        <is>
          <t>CEO, six ventures</t>
        </is>
      </c>
      <c r="D13" s="4" t="inlineStr">
        <is>
          <t>Egypt/Saudi Arabia</t>
        </is>
      </c>
      <c r="E13" s="4" t="inlineStr">
        <is>
          <t>UN and USAID background</t>
        </is>
      </c>
      <c r="F13" s="4" t="inlineStr">
        <is>
          <t>Yes</t>
        </is>
      </c>
      <c r="G13" s="4" t="inlineStr">
        <is>
          <t>Light</t>
        </is>
      </c>
      <c r="H13" s="4" t="inlineStr">
        <is>
          <t>Wanted written proposal</t>
        </is>
      </c>
      <c r="I13" s="4" t="inlineStr">
        <is>
          <t>Replied</t>
        </is>
      </c>
      <c r="J13" s="4" t="inlineStr"/>
      <c r="K13" s="3" t="n"/>
      <c r="L13" s="3" t="n"/>
    </row>
    <row r="14">
      <c r="A14" s="2" t="n">
        <v>13</v>
      </c>
      <c r="B14" s="2" t="inlineStr">
        <is>
          <t>Mamoun Baidoun</t>
        </is>
      </c>
      <c r="C14" s="2" t="inlineStr">
        <is>
          <t>Founder, PULSE Trainings</t>
        </is>
      </c>
      <c r="D14" s="2" t="inlineStr">
        <is>
          <t>Türkiye</t>
        </is>
      </c>
      <c r="E14" s="2" t="inlineStr">
        <is>
          <t>Ex-AstraZeneca, pharmacist</t>
        </is>
      </c>
      <c r="F14" s="2" t="inlineStr">
        <is>
          <t>Yes</t>
        </is>
      </c>
      <c r="G14" s="2" t="inlineStr">
        <is>
          <t>Light</t>
        </is>
      </c>
      <c r="H14" s="2" t="inlineStr">
        <is>
          <t>Budget — 2 years</t>
        </is>
      </c>
      <c r="I14" s="2" t="inlineStr">
        <is>
          <t>Declined</t>
        </is>
      </c>
      <c r="J14" s="2" t="inlineStr"/>
      <c r="K14" s="3" t="n"/>
      <c r="L14" s="3" t="n"/>
    </row>
    <row r="15">
      <c r="A15" s="4" t="n">
        <v>14</v>
      </c>
      <c r="B15" s="4" t="inlineStr">
        <is>
          <t>Dr. Bahar Abdul Ahad</t>
        </is>
      </c>
      <c r="C15" s="4" t="inlineStr">
        <is>
          <t>Founder, Traineurs</t>
        </is>
      </c>
      <c r="D15" s="4" t="inlineStr">
        <is>
          <t>Saudi Arabia</t>
        </is>
      </c>
      <c r="E15" s="4" t="inlineStr">
        <is>
          <t>PharmD, coaching</t>
        </is>
      </c>
      <c r="F15" s="4" t="inlineStr">
        <is>
          <t>Yes</t>
        </is>
      </c>
      <c r="G15" s="4" t="inlineStr">
        <is>
          <t>Light</t>
        </is>
      </c>
      <c r="H15" s="4" t="inlineStr">
        <is>
          <t>Tested, satisfied with result</t>
        </is>
      </c>
      <c r="I15" s="4" t="inlineStr">
        <is>
          <t>Declined</t>
        </is>
      </c>
      <c r="J15" s="4" t="inlineStr"/>
      <c r="K15" s="3" t="n"/>
      <c r="L15" s="3" t="n"/>
    </row>
    <row r="16">
      <c r="A16" s="2" t="n">
        <v>15</v>
      </c>
      <c r="B16" s="2" t="inlineStr">
        <is>
          <t>Nate Guggia</t>
        </is>
      </c>
      <c r="C16" s="2" t="inlineStr">
        <is>
          <t>Enterprise sales, flytedesk</t>
        </is>
      </c>
      <c r="D16" s="2" t="inlineStr">
        <is>
          <t>US</t>
        </is>
      </c>
      <c r="E16" s="2" t="inlineStr">
        <is>
          <t>Outbound specialist</t>
        </is>
      </c>
      <c r="F16" s="2" t="inlineStr">
        <is>
          <t>Yes</t>
        </is>
      </c>
      <c r="G16" s="2" t="inlineStr">
        <is>
          <t>Light</t>
        </is>
      </c>
      <c r="H16" s="2" t="inlineStr">
        <is>
          <t>Disproved premise</t>
        </is>
      </c>
      <c r="I16" s="2" t="inlineStr">
        <is>
          <t>Declined</t>
        </is>
      </c>
      <c r="J16" s="2" t="inlineStr"/>
      <c r="K16" s="3" t="n"/>
      <c r="L16" s="3" t="n"/>
    </row>
    <row r="17">
      <c r="A17" s="4" t="n">
        <v>16</v>
      </c>
      <c r="B17" s="4" t="inlineStr">
        <is>
          <t>Narine Barsoumian</t>
        </is>
      </c>
      <c r="C17" s="4" t="inlineStr">
        <is>
          <t>Founder, BARMED</t>
        </is>
      </c>
      <c r="D17" s="4" t="inlineStr">
        <is>
          <t>UAE</t>
        </is>
      </c>
      <c r="E17" s="4" t="inlineStr">
        <is>
          <t>Medical imaging, ex-Al Mazroui</t>
        </is>
      </c>
      <c r="F17" s="4" t="inlineStr">
        <is>
          <t>Yes</t>
        </is>
      </c>
      <c r="G17" s="4" t="inlineStr">
        <is>
          <t>Light</t>
        </is>
      </c>
      <c r="H17" s="4" t="inlineStr">
        <is>
          <t>Values in-person relationships</t>
        </is>
      </c>
      <c r="I17" s="4" t="inlineStr">
        <is>
          <t>Declined</t>
        </is>
      </c>
      <c r="J17" s="4" t="inlineStr"/>
      <c r="K17" s="3" t="n"/>
      <c r="L17" s="3" t="n"/>
    </row>
    <row r="18">
      <c r="A18" s="2" t="n">
        <v>17</v>
      </c>
      <c r="B18" s="2" t="inlineStr">
        <is>
          <t>Minoush M.</t>
        </is>
      </c>
      <c r="C18" s="2" t="inlineStr">
        <is>
          <t>Coach, 25 yrs</t>
        </is>
      </c>
      <c r="D18" s="2" t="inlineStr">
        <is>
          <t>Spain</t>
        </is>
      </c>
      <c r="E18" s="2" t="inlineStr">
        <is>
          <t>Abbreviated surname</t>
        </is>
      </c>
      <c r="F18" s="2" t="inlineStr">
        <is>
          <t>Yes</t>
        </is>
      </c>
      <c r="G18" s="2" t="inlineStr">
        <is>
          <t>Light</t>
        </is>
      </c>
      <c r="H18" s="2" t="inlineStr">
        <is>
          <t>Has an SEO person</t>
        </is>
      </c>
      <c r="I18" s="2" t="inlineStr">
        <is>
          <t>Declined</t>
        </is>
      </c>
      <c r="J18" s="2" t="inlineStr"/>
      <c r="K18" s="3" t="n"/>
      <c r="L18" s="3" t="n"/>
    </row>
    <row r="19">
      <c r="A19" s="4" t="n">
        <v>18</v>
      </c>
      <c r="B19" s="4" t="inlineStr">
        <is>
          <t>Maen Altengi</t>
        </is>
      </c>
      <c r="C19" s="4" t="inlineStr">
        <is>
          <t>Consultant</t>
        </is>
      </c>
      <c r="D19" s="4" t="inlineStr">
        <is>
          <t>UAE</t>
        </is>
      </c>
      <c r="E19" s="4" t="inlineStr">
        <is>
          <t>Two name variants</t>
        </is>
      </c>
      <c r="F19" s="4" t="inlineStr">
        <is>
          <t>Yes</t>
        </is>
      </c>
      <c r="G19" s="4" t="inlineStr">
        <is>
          <t>Light</t>
        </is>
      </c>
      <c r="H19" s="4" t="inlineStr">
        <is>
          <t>Found messaging automated</t>
        </is>
      </c>
      <c r="I19" s="4" t="inlineStr">
        <is>
          <t>Declined</t>
        </is>
      </c>
      <c r="J19" s="4" t="inlineStr"/>
      <c r="K19" s="3" t="n"/>
      <c r="L19" s="3" t="n"/>
    </row>
    <row r="20">
      <c r="A20" s="2" t="n">
        <v>19</v>
      </c>
      <c r="B20" s="2" t="inlineStr">
        <is>
          <t>Ahmad Alkaylani</t>
        </is>
      </c>
      <c r="C20" s="2" t="inlineStr">
        <is>
          <t>Founder, Saudi Academics</t>
        </is>
      </c>
      <c r="D20" s="2" t="inlineStr">
        <is>
          <t>Saudi Arabia</t>
        </is>
      </c>
      <c r="E20" s="2" t="inlineStr">
        <is>
          <t>Medical student, tutoring venture</t>
        </is>
      </c>
      <c r="F20" s="2" t="inlineStr">
        <is>
          <t>Yes</t>
        </is>
      </c>
      <c r="G20" s="2" t="inlineStr">
        <is>
          <t>Light</t>
        </is>
      </c>
      <c r="H20" s="2" t="inlineStr">
        <is>
          <t>None stated</t>
        </is>
      </c>
      <c r="I20" s="2" t="inlineStr">
        <is>
          <t>Replied</t>
        </is>
      </c>
      <c r="J20" s="2" t="inlineStr"/>
      <c r="K20" s="3" t="n"/>
      <c r="L20" s="3" t="n"/>
    </row>
    <row r="21">
      <c r="A21" s="4" t="n">
        <v>20</v>
      </c>
      <c r="B21" s="4" t="inlineStr">
        <is>
          <t>Ryane Belaid</t>
        </is>
      </c>
      <c r="C21" s="4" t="inlineStr">
        <is>
          <t>Founder, ICA</t>
        </is>
      </c>
      <c r="D21" s="4" t="inlineStr">
        <is>
          <t>France</t>
        </is>
      </c>
      <c r="E21" s="4" t="inlineStr">
        <is>
          <t>Recently founded after banking career</t>
        </is>
      </c>
      <c r="F21" s="4" t="inlineStr">
        <is>
          <t>Yes</t>
        </is>
      </c>
      <c r="G21" s="4" t="inlineStr">
        <is>
          <t>Light</t>
        </is>
      </c>
      <c r="H21" s="4" t="inlineStr">
        <is>
          <t>Asked what the service is</t>
        </is>
      </c>
      <c r="I21" s="4" t="inlineStr">
        <is>
          <t>Replied</t>
        </is>
      </c>
      <c r="J21" s="4" t="inlineStr"/>
      <c r="K21" s="3" t="n"/>
      <c r="L21" s="3" t="n"/>
    </row>
    <row r="22">
      <c r="A22" s="2" t="n">
        <v>21</v>
      </c>
      <c r="B22" s="2" t="inlineStr">
        <is>
          <t>Stefan Xhunga</t>
        </is>
      </c>
      <c r="C22" s="2" t="inlineStr">
        <is>
          <t>CEO, Kriselaengineering</t>
        </is>
      </c>
      <c r="D22" s="2" t="inlineStr">
        <is>
          <t>Albania</t>
        </is>
      </c>
      <c r="E22" s="2" t="inlineStr">
        <is>
          <t>Industry 5.0, semiconductors</t>
        </is>
      </c>
      <c r="F22" s="2" t="inlineStr">
        <is>
          <t>Yes</t>
        </is>
      </c>
      <c r="G22" s="2" t="inlineStr">
        <is>
          <t>Light</t>
        </is>
      </c>
      <c r="H22" s="2" t="inlineStr">
        <is>
          <t>Hesitant on WhatsApp</t>
        </is>
      </c>
      <c r="I22" s="2" t="inlineStr">
        <is>
          <t>Replied</t>
        </is>
      </c>
      <c r="J22" s="2" t="inlineStr">
        <is>
          <t>Check company spelling</t>
        </is>
      </c>
      <c r="K22" s="3" t="n"/>
      <c r="L22" s="3" t="n"/>
    </row>
    <row r="23">
      <c r="A23" s="4" t="n">
        <v>22</v>
      </c>
      <c r="B23" s="4" t="inlineStr">
        <is>
          <t>Sami Al-Qahtani</t>
        </is>
      </c>
      <c r="C23" s="4" t="inlineStr">
        <is>
          <t>Partner, two companies</t>
        </is>
      </c>
      <c r="D23" s="4" t="inlineStr">
        <is>
          <t>Saudi Arabia</t>
        </is>
      </c>
      <c r="E23" s="4" t="inlineStr">
        <is>
          <t>Ex-Saudi Electricity, 15 yrs</t>
        </is>
      </c>
      <c r="F23" s="4" t="inlineStr">
        <is>
          <t>Yes</t>
        </is>
      </c>
      <c r="G23" s="4" t="inlineStr">
        <is>
          <t>Light</t>
        </is>
      </c>
      <c r="H23" s="4" t="inlineStr">
        <is>
          <t>Didn't understand concept</t>
        </is>
      </c>
      <c r="I23" s="4" t="inlineStr">
        <is>
          <t>Replied</t>
        </is>
      </c>
      <c r="J23" s="4" t="inlineStr"/>
      <c r="K23" s="3" t="n"/>
      <c r="L23" s="3" t="n"/>
    </row>
    <row r="25">
      <c r="B25" s="5" t="inlineStr">
        <is>
          <t>Legend</t>
        </is>
      </c>
    </row>
    <row r="26">
      <c r="B26" s="6" t="n"/>
      <c r="C26" s="7" t="inlineStr">
        <is>
          <t>Yellow = to be filled in (dates were not in the source data)</t>
        </is>
      </c>
    </row>
    <row r="27">
      <c r="C27" s="7" t="inlineStr">
        <is>
          <t>Funnel stage, Engagement and Response use dropdowns so the Summary tab counts stay accurate.</t>
        </is>
      </c>
    </row>
    <row r="28">
      <c r="C28" s="7" t="inlineStr">
        <is>
          <t>Source: prospect data supplied by user; no dates provided.</t>
        </is>
      </c>
    </row>
  </sheetData>
  <autoFilter ref="A1:L23"/>
  <dataValidations count="4">
    <dataValidation sqref="I2:I23" showDropDown="0" showInputMessage="0" showErrorMessage="0" allowBlank="1" type="list">
      <formula1>"Replied,Qualified,Handover,Final stage,Stalled,Declined"</formula1>
    </dataValidation>
    <dataValidation sqref="G2:G23" showDropDown="0" showInputMessage="0" showErrorMessage="0" allowBlank="1" type="list">
      <formula1>"Advanced,Engaged,Light"</formula1>
    </dataValidation>
    <dataValidation sqref="F2:F23" showDropDown="0" showInputMessage="0" showErrorMessage="0" allowBlank="1" type="list">
      <formula1>"Yes,No"</formula1>
    </dataValidation>
    <dataValidation sqref="K2:L23" showDropDown="0" showInputMessage="0" showErrorMessage="0" allowBlank="1" errorTitle="Date" error="Enter a valid date" type="date" operator="greaterThan">
      <formula1>DATE(2020,1,1)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8" t="inlineStr">
        <is>
          <t>Prospect Pipeline Summary</t>
        </is>
      </c>
    </row>
    <row r="2">
      <c r="A2" s="7" t="inlineStr">
        <is>
          <t>All figures are formulas over the Tracker tab.</t>
        </is>
      </c>
    </row>
    <row r="4">
      <c r="A4" s="9" t="inlineStr">
        <is>
          <t>Total prospects</t>
        </is>
      </c>
      <c r="B4" s="9">
        <f>COUNTA(Tracker!$B$2:$B$23)</f>
        <v/>
      </c>
    </row>
    <row r="5">
      <c r="A5" s="9" t="inlineStr">
        <is>
          <t>Responded</t>
        </is>
      </c>
      <c r="B5" s="9">
        <f>COUNTIF(Tracker!$F$2:$F$23,"Yes")</f>
        <v/>
      </c>
      <c r="C5" s="10">
        <f>IF($B$4=0,0,B5/$B$4)</f>
        <v/>
      </c>
    </row>
    <row r="7">
      <c r="A7" s="11" t="inlineStr">
        <is>
          <t>Funnel stage</t>
        </is>
      </c>
      <c r="B7" s="11" t="inlineStr">
        <is>
          <t>Count</t>
        </is>
      </c>
      <c r="C7" s="11" t="inlineStr">
        <is>
          <t>% of total</t>
        </is>
      </c>
    </row>
    <row r="8">
      <c r="A8" s="12" t="inlineStr">
        <is>
          <t>Replied</t>
        </is>
      </c>
      <c r="B8" s="12">
        <f>COUNTIF(Tracker!$I$2:$I$23,"Replied")</f>
        <v/>
      </c>
      <c r="C8" s="13">
        <f>IF($B$4=0,0,B8/$B$4)</f>
        <v/>
      </c>
    </row>
    <row r="9">
      <c r="A9" s="12" t="inlineStr">
        <is>
          <t>Qualified</t>
        </is>
      </c>
      <c r="B9" s="12">
        <f>COUNTIF(Tracker!$I$2:$I$23,"Qualified")</f>
        <v/>
      </c>
      <c r="C9" s="13">
        <f>IF($B$4=0,0,B9/$B$4)</f>
        <v/>
      </c>
    </row>
    <row r="10">
      <c r="A10" s="12" t="inlineStr">
        <is>
          <t>Handover</t>
        </is>
      </c>
      <c r="B10" s="12">
        <f>COUNTIF(Tracker!$I$2:$I$23,"Handover")</f>
        <v/>
      </c>
      <c r="C10" s="13">
        <f>IF($B$4=0,0,B10/$B$4)</f>
        <v/>
      </c>
    </row>
    <row r="11">
      <c r="A11" s="12" t="inlineStr">
        <is>
          <t>Final stage</t>
        </is>
      </c>
      <c r="B11" s="12">
        <f>COUNTIF(Tracker!$I$2:$I$23,"Final stage")</f>
        <v/>
      </c>
      <c r="C11" s="13">
        <f>IF($B$4=0,0,B11/$B$4)</f>
        <v/>
      </c>
    </row>
    <row r="12">
      <c r="A12" s="12" t="inlineStr">
        <is>
          <t>Stalled</t>
        </is>
      </c>
      <c r="B12" s="12">
        <f>COUNTIF(Tracker!$I$2:$I$23,"Stalled")</f>
        <v/>
      </c>
      <c r="C12" s="13">
        <f>IF($B$4=0,0,B12/$B$4)</f>
        <v/>
      </c>
    </row>
    <row r="13">
      <c r="A13" s="12" t="inlineStr">
        <is>
          <t>Declined</t>
        </is>
      </c>
      <c r="B13" s="12">
        <f>COUNTIF(Tracker!$I$2:$I$23,"Declined")</f>
        <v/>
      </c>
      <c r="C13" s="13">
        <f>IF($B$4=0,0,B13/$B$4)</f>
        <v/>
      </c>
    </row>
    <row r="14">
      <c r="A14" s="9" t="inlineStr">
        <is>
          <t>Total</t>
        </is>
      </c>
      <c r="B14" s="9">
        <f>SUM(B8:B13)</f>
        <v/>
      </c>
      <c r="C14" s="10">
        <f>IF($B$4=0,0,B14/$B$4)</f>
        <v/>
      </c>
    </row>
    <row r="16">
      <c r="A16" s="11" t="inlineStr">
        <is>
          <t>Engagement</t>
        </is>
      </c>
      <c r="B16" s="11" t="inlineStr">
        <is>
          <t>Count</t>
        </is>
      </c>
      <c r="C16" s="11" t="inlineStr">
        <is>
          <t>% of total</t>
        </is>
      </c>
    </row>
    <row r="17">
      <c r="A17" s="12" t="inlineStr">
        <is>
          <t>Advanced</t>
        </is>
      </c>
      <c r="B17" s="12">
        <f>COUNTIF(Tracker!$G$2:$G$23,"Advanced")</f>
        <v/>
      </c>
      <c r="C17" s="13">
        <f>IF($B$4=0,0,B17/$B$4)</f>
        <v/>
      </c>
    </row>
    <row r="18">
      <c r="A18" s="12" t="inlineStr">
        <is>
          <t>Engaged</t>
        </is>
      </c>
      <c r="B18" s="12">
        <f>COUNTIF(Tracker!$G$2:$G$23,"Engaged")</f>
        <v/>
      </c>
      <c r="C18" s="13">
        <f>IF($B$4=0,0,B18/$B$4)</f>
        <v/>
      </c>
    </row>
    <row r="19">
      <c r="A19" s="12" t="inlineStr">
        <is>
          <t>Light</t>
        </is>
      </c>
      <c r="B19" s="12">
        <f>COUNTIF(Tracker!$G$2:$G$23,"Light")</f>
        <v/>
      </c>
      <c r="C19" s="13">
        <f>IF($B$4=0,0,B19/$B$4)</f>
        <v/>
      </c>
    </row>
    <row r="20">
      <c r="A20" s="9" t="inlineStr">
        <is>
          <t>Total</t>
        </is>
      </c>
      <c r="B20" s="9">
        <f>SUM(B17:B19)</f>
        <v/>
      </c>
      <c r="C20" s="10">
        <f>IF($B$4=0,0,B20/$B$4)</f>
        <v/>
      </c>
    </row>
    <row r="22">
      <c r="A22" s="11" t="inlineStr">
        <is>
          <t>Country</t>
        </is>
      </c>
      <c r="B22" s="11" t="inlineStr">
        <is>
          <t>Prospects</t>
        </is>
      </c>
      <c r="C22" s="11" t="inlineStr">
        <is>
          <t>Active*</t>
        </is>
      </c>
    </row>
    <row r="23">
      <c r="A23" s="12" t="inlineStr">
        <is>
          <t>UAE</t>
        </is>
      </c>
      <c r="B23" s="12">
        <f>COUNTIF(Tracker!$D$2:$D$23,"UAE")</f>
        <v/>
      </c>
      <c r="C23" s="14">
        <f>COUNTIFS(Tracker!$D$2:$D$23,"UAE",Tracker!$I$2:$I$23,"Qualified")+COUNTIFS(Tracker!$D$2:$D$23,"UAE",Tracker!$I$2:$I$23,"Handover")+COUNTIFS(Tracker!$D$2:$D$23,"UAE",Tracker!$I$2:$I$23,"Final stage")</f>
        <v/>
      </c>
    </row>
    <row r="24">
      <c r="A24" s="12" t="inlineStr">
        <is>
          <t>Saudi Arabia</t>
        </is>
      </c>
      <c r="B24" s="12">
        <f>COUNTIF(Tracker!$D$2:$D$23,"Saudi Arabia")</f>
        <v/>
      </c>
      <c r="C24" s="14">
        <f>COUNTIFS(Tracker!$D$2:$D$23,"Saudi Arabia",Tracker!$I$2:$I$23,"Qualified")+COUNTIFS(Tracker!$D$2:$D$23,"Saudi Arabia",Tracker!$I$2:$I$23,"Handover")+COUNTIFS(Tracker!$D$2:$D$23,"Saudi Arabia",Tracker!$I$2:$I$23,"Final stage")</f>
        <v/>
      </c>
    </row>
    <row r="25">
      <c r="A25" s="12" t="inlineStr">
        <is>
          <t>Egypt/Saudi Arabia</t>
        </is>
      </c>
      <c r="B25" s="12">
        <f>COUNTIF(Tracker!$D$2:$D$23,"Egypt/Saudi Arabia")</f>
        <v/>
      </c>
      <c r="C25" s="14">
        <f>COUNTIFS(Tracker!$D$2:$D$23,"Egypt/Saudi Arabia",Tracker!$I$2:$I$23,"Qualified")+COUNTIFS(Tracker!$D$2:$D$23,"Egypt/Saudi Arabia",Tracker!$I$2:$I$23,"Handover")+COUNTIFS(Tracker!$D$2:$D$23,"Egypt/Saudi Arabia",Tracker!$I$2:$I$23,"Final stage")</f>
        <v/>
      </c>
    </row>
    <row r="26">
      <c r="A26" s="12" t="inlineStr">
        <is>
          <t>US</t>
        </is>
      </c>
      <c r="B26" s="12">
        <f>COUNTIF(Tracker!$D$2:$D$23,"US")</f>
        <v/>
      </c>
      <c r="C26" s="14">
        <f>COUNTIFS(Tracker!$D$2:$D$23,"US",Tracker!$I$2:$I$23,"Qualified")+COUNTIFS(Tracker!$D$2:$D$23,"US",Tracker!$I$2:$I$23,"Handover")+COUNTIFS(Tracker!$D$2:$D$23,"US",Tracker!$I$2:$I$23,"Final stage")</f>
        <v/>
      </c>
    </row>
    <row r="27">
      <c r="A27" s="12" t="inlineStr">
        <is>
          <t>Egypt</t>
        </is>
      </c>
      <c r="B27" s="12">
        <f>COUNTIF(Tracker!$D$2:$D$23,"Egypt")</f>
        <v/>
      </c>
      <c r="C27" s="14">
        <f>COUNTIFS(Tracker!$D$2:$D$23,"Egypt",Tracker!$I$2:$I$23,"Qualified")+COUNTIFS(Tracker!$D$2:$D$23,"Egypt",Tracker!$I$2:$I$23,"Handover")+COUNTIFS(Tracker!$D$2:$D$23,"Egypt",Tracker!$I$2:$I$23,"Final stage")</f>
        <v/>
      </c>
    </row>
    <row r="28">
      <c r="A28" s="12" t="inlineStr">
        <is>
          <t>Netherlands</t>
        </is>
      </c>
      <c r="B28" s="12">
        <f>COUNTIF(Tracker!$D$2:$D$23,"Netherlands")</f>
        <v/>
      </c>
      <c r="C28" s="14">
        <f>COUNTIFS(Tracker!$D$2:$D$23,"Netherlands",Tracker!$I$2:$I$23,"Qualified")+COUNTIFS(Tracker!$D$2:$D$23,"Netherlands",Tracker!$I$2:$I$23,"Handover")+COUNTIFS(Tracker!$D$2:$D$23,"Netherlands",Tracker!$I$2:$I$23,"Final stage")</f>
        <v/>
      </c>
    </row>
    <row r="29">
      <c r="A29" s="12" t="inlineStr">
        <is>
          <t>UK</t>
        </is>
      </c>
      <c r="B29" s="12">
        <f>COUNTIF(Tracker!$D$2:$D$23,"UK")</f>
        <v/>
      </c>
      <c r="C29" s="14">
        <f>COUNTIFS(Tracker!$D$2:$D$23,"UK",Tracker!$I$2:$I$23,"Qualified")+COUNTIFS(Tracker!$D$2:$D$23,"UK",Tracker!$I$2:$I$23,"Handover")+COUNTIFS(Tracker!$D$2:$D$23,"UK",Tracker!$I$2:$I$23,"Final stage")</f>
        <v/>
      </c>
    </row>
    <row r="30">
      <c r="A30" s="12" t="inlineStr">
        <is>
          <t>Lebanon</t>
        </is>
      </c>
      <c r="B30" s="12">
        <f>COUNTIF(Tracker!$D$2:$D$23,"Lebanon")</f>
        <v/>
      </c>
      <c r="C30" s="14">
        <f>COUNTIFS(Tracker!$D$2:$D$23,"Lebanon",Tracker!$I$2:$I$23,"Qualified")+COUNTIFS(Tracker!$D$2:$D$23,"Lebanon",Tracker!$I$2:$I$23,"Handover")+COUNTIFS(Tracker!$D$2:$D$23,"Lebanon",Tracker!$I$2:$I$23,"Final stage")</f>
        <v/>
      </c>
    </row>
    <row r="31">
      <c r="A31" s="12" t="inlineStr">
        <is>
          <t>Australia</t>
        </is>
      </c>
      <c r="B31" s="12">
        <f>COUNTIF(Tracker!$D$2:$D$23,"Australia")</f>
        <v/>
      </c>
      <c r="C31" s="14">
        <f>COUNTIFS(Tracker!$D$2:$D$23,"Australia",Tracker!$I$2:$I$23,"Qualified")+COUNTIFS(Tracker!$D$2:$D$23,"Australia",Tracker!$I$2:$I$23,"Handover")+COUNTIFS(Tracker!$D$2:$D$23,"Australia",Tracker!$I$2:$I$23,"Final stage")</f>
        <v/>
      </c>
    </row>
    <row r="32">
      <c r="A32" s="12" t="inlineStr">
        <is>
          <t>Türkiye</t>
        </is>
      </c>
      <c r="B32" s="12">
        <f>COUNTIF(Tracker!$D$2:$D$23,"Türkiye")</f>
        <v/>
      </c>
      <c r="C32" s="14">
        <f>COUNTIFS(Tracker!$D$2:$D$23,"Türkiye",Tracker!$I$2:$I$23,"Qualified")+COUNTIFS(Tracker!$D$2:$D$23,"Türkiye",Tracker!$I$2:$I$23,"Handover")+COUNTIFS(Tracker!$D$2:$D$23,"Türkiye",Tracker!$I$2:$I$23,"Final stage")</f>
        <v/>
      </c>
    </row>
    <row r="33">
      <c r="A33" s="12" t="inlineStr">
        <is>
          <t>Spain</t>
        </is>
      </c>
      <c r="B33" s="12">
        <f>COUNTIF(Tracker!$D$2:$D$23,"Spain")</f>
        <v/>
      </c>
      <c r="C33" s="14">
        <f>COUNTIFS(Tracker!$D$2:$D$23,"Spain",Tracker!$I$2:$I$23,"Qualified")+COUNTIFS(Tracker!$D$2:$D$23,"Spain",Tracker!$I$2:$I$23,"Handover")+COUNTIFS(Tracker!$D$2:$D$23,"Spain",Tracker!$I$2:$I$23,"Final stage")</f>
        <v/>
      </c>
    </row>
    <row r="34">
      <c r="A34" s="12" t="inlineStr">
        <is>
          <t>France</t>
        </is>
      </c>
      <c r="B34" s="12">
        <f>COUNTIF(Tracker!$D$2:$D$23,"France")</f>
        <v/>
      </c>
      <c r="C34" s="14">
        <f>COUNTIFS(Tracker!$D$2:$D$23,"France",Tracker!$I$2:$I$23,"Qualified")+COUNTIFS(Tracker!$D$2:$D$23,"France",Tracker!$I$2:$I$23,"Handover")+COUNTIFS(Tracker!$D$2:$D$23,"France",Tracker!$I$2:$I$23,"Final stage")</f>
        <v/>
      </c>
    </row>
    <row r="35">
      <c r="A35" s="12" t="inlineStr">
        <is>
          <t>Albania</t>
        </is>
      </c>
      <c r="B35" s="12">
        <f>COUNTIF(Tracker!$D$2:$D$23,"Albania")</f>
        <v/>
      </c>
      <c r="C35" s="14">
        <f>COUNTIFS(Tracker!$D$2:$D$23,"Albania",Tracker!$I$2:$I$23,"Qualified")+COUNTIFS(Tracker!$D$2:$D$23,"Albania",Tracker!$I$2:$I$23,"Handover")+COUNTIFS(Tracker!$D$2:$D$23,"Albania",Tracker!$I$2:$I$23,"Final stage")</f>
        <v/>
      </c>
    </row>
    <row r="36">
      <c r="A36" s="9" t="inlineStr">
        <is>
          <t>Total</t>
        </is>
      </c>
      <c r="B36" s="9">
        <f>SUM(B23:B35)</f>
        <v/>
      </c>
      <c r="C36" s="15">
        <f>SUM(C23:C35)</f>
        <v/>
      </c>
    </row>
    <row r="37">
      <c r="A37" s="7" t="inlineStr">
        <is>
          <t>*Active = Qualified, Handover or Final stage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70" customWidth="1" min="3" max="3"/>
  </cols>
  <sheetData>
    <row r="1">
      <c r="A1" s="8" t="inlineStr">
        <is>
          <t>Key Insights</t>
        </is>
      </c>
    </row>
    <row r="3">
      <c r="A3" s="11" t="inlineStr">
        <is>
          <t>#</t>
        </is>
      </c>
      <c r="B3" s="11" t="inlineStr">
        <is>
          <t>Insight (as supplied)</t>
        </is>
      </c>
      <c r="C3" s="11" t="inlineStr">
        <is>
          <t>Data check against this tracker</t>
        </is>
      </c>
    </row>
    <row r="4" ht="75" customHeight="1">
      <c r="A4" s="2" t="n">
        <v>1</v>
      </c>
      <c r="B4" s="2" t="inlineStr">
        <is>
          <t>Response rate is highest in Saudi and the UAE.</t>
        </is>
      </c>
      <c r="C4" s="2" t="inlineStr">
        <is>
          <t>Cannot be shown as a rate from this sheet: all 22 prospects replied, so non-responders are missing. The tracker supports 'most respondents are from the UAE (6) and Saudi Arabia (4, plus 1 Egypt/Saudi)'. Add non-responders to report a true response rate.</t>
        </is>
      </c>
    </row>
    <row r="5" ht="75" customHeight="1">
      <c r="A5" s="2" t="n">
        <v>2</v>
      </c>
      <c r="B5" s="2" t="inlineStr">
        <is>
          <t>Independent consultants, coaches and clinic owners convert best; salaried executives don't respond.</t>
        </is>
      </c>
      <c r="C5" s="2" t="inlineStr">
        <is>
          <t>Not supported as written. No prospect has converted yet (furthest is 'Final stage'). Coaches: 1 Qualified, 1 Handover, 3 Declined (Bayo, Minoush, Bahar). Clinic owners: 1 Replied, 1 Declined. The most advanced prospects are founders/CEOs (Al Sharif, van der Laan, Habib). Salaried roles do respond here (e.g. Nate Guggia). Suggest: 'Founders and owner-operators progress furthest.'</t>
        </is>
      </c>
    </row>
    <row r="6" ht="75" customHeight="1">
      <c r="A6" s="2" t="n">
        <v>3</v>
      </c>
      <c r="B6" s="2" t="inlineStr">
        <is>
          <t>The most common stall point is when a prospect wants proof before committing.</t>
        </is>
      </c>
      <c r="C6" s="2" t="inlineStr">
        <is>
          <t>Partly supported. Proof/detail objections appear 5 times (methodology, technical proof, wanted detail, written proposal, what the service is) - the most common objection theme. Only 1 prospect is formally 'Stalled' (Hadeer Ashour), and her objection is about investors using LinkedIn, not proof.</t>
        </is>
      </c>
    </row>
    <row r="7" ht="75" customHeight="1">
      <c r="A7" s="2" t="n">
        <v>4</v>
      </c>
      <c r="B7" s="2" t="inlineStr">
        <is>
          <t>Declines cluster around two reasons: budget, and prospects who tested and were satisfied with their existing results.</t>
        </is>
      </c>
      <c r="C7" s="2" t="inlineStr">
        <is>
          <t>Not supported. 7 declines, 7 different reasons: scheduling, budget, tested &amp; satisfied, disproved premise, prefers in-person, has an SEO person, messaging felt automated. Budget and 'tested &amp; satisfied' are 1 each. Suggest: 'Declines are varied; the recurring theme is prospects who feel they already have visibility covered (own SEO person, tested and satisfied, disproved premise).'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2026-09-25T07:23:48Z</dcterms:created>
  <dcterms:modified xsi:type="dcterms:W3CDTF">2026-09-25T07:23:48Z</dcterms:modified>
</cp:coreProperties>
</file>